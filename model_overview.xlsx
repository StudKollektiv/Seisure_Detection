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re\Documents\Studium\Master_TUD\WS_25_26\Neural_Networks\Presentation\"/>
    </mc:Choice>
  </mc:AlternateContent>
  <xr:revisionPtr revIDLastSave="0" documentId="13_ncr:1_{871A9128-377F-4022-95D6-848EFF15E2BD}" xr6:coauthVersionLast="47" xr6:coauthVersionMax="47" xr10:uidLastSave="{00000000-0000-0000-0000-000000000000}"/>
  <bookViews>
    <workbookView xWindow="-28920" yWindow="-120" windowWidth="29040" windowHeight="15720" xr2:uid="{C364CF0C-4F90-4E29-8CE5-066C18C53E76}"/>
  </bookViews>
  <sheets>
    <sheet name="Sheet1" sheetId="1" r:id="rId1"/>
  </sheets>
  <definedNames>
    <definedName name="_xlchart.v1.0" hidden="1">Sheet1!$K$46</definedName>
    <definedName name="_xlchart.v1.1" hidden="1">(Sheet1!$C$7:$C$10,Sheet1!$C$20:$C$23)</definedName>
    <definedName name="_xlchart.v1.10" hidden="1">(Sheet1!$O$7:$O$8,Sheet1!$O$20:$O$21,Sheet1!$O$34:$O$35)</definedName>
    <definedName name="_xlchart.v1.11" hidden="1">Sheet1!$C$7:$C$10</definedName>
    <definedName name="_xlchart.v1.12" hidden="1">Sheet1!$K$46</definedName>
    <definedName name="_xlchart.v1.13" hidden="1">Sheet1!$O$7:$O$8</definedName>
    <definedName name="_xlchart.v1.14" hidden="1">(Sheet1!$D$7:$D$10,Sheet1!$D$20:$D$23)</definedName>
    <definedName name="_xlchart.v1.15" hidden="1">(Sheet1!$D$7:$D$10,Sheet1!$D$20:$D$23,Sheet1!$D$34:$D$37)</definedName>
    <definedName name="_xlchart.v1.16" hidden="1">(Sheet1!$D$7:$D$10,Sheet1!$D$20:$D$23,Sheet1!$D$34:$D$37,Sheet1!$H$7:$H$10)</definedName>
    <definedName name="_xlchart.v1.17" hidden="1">(Sheet1!$D$7:$D$10,Sheet1!$D$20:$D$23,Sheet1!$D$34:$D$37,Sheet1!$H$7:$H$10,Sheet1!$H$20:$H$23)</definedName>
    <definedName name="_xlchart.v1.18" hidden="1">(Sheet1!$D$7:$D$10,Sheet1!$D$20:$D$23,Sheet1!$D$34:$D$37,Sheet1!$H$7:$H$10,Sheet1!$H$20:$H$23,Sheet1!$H$34:$H$37)</definedName>
    <definedName name="_xlchart.v1.19" hidden="1">(Sheet1!$D$7:$D$10,Sheet1!$D$20:$D$23,Sheet1!$D$34:$D$37,Sheet1!$H$7:$H$10,Sheet1!$H$20:$H$23,Sheet1!$H$34:$H$37,Sheet1!$L$7:$L$10)</definedName>
    <definedName name="_xlchart.v1.2" hidden="1">(Sheet1!$C$7:$C$10,Sheet1!$C$20:$C$23,Sheet1!$C$34:$C$37)</definedName>
    <definedName name="_xlchart.v1.20" hidden="1">(Sheet1!$D$7:$D$10,Sheet1!$D$20:$D$23,Sheet1!$D$34:$D$37,Sheet1!$H$7:$H$10,Sheet1!$H$20:$H$23,Sheet1!$H$34:$H$37,Sheet1!$L$7:$L$10,Sheet1!$L$20:$L$23)</definedName>
    <definedName name="_xlchart.v1.21" hidden="1">(Sheet1!$D$7:$D$10,Sheet1!$D$20:$D$23,Sheet1!$D$34:$D$37,Sheet1!$H$7:$H$10,Sheet1!$H$20:$H$23,Sheet1!$H$34:$H$37,Sheet1!$L$7:$L$10,Sheet1!$L$20:$L$23,Sheet1!$L$34:$L$37)</definedName>
    <definedName name="_xlchart.v1.22" hidden="1">(Sheet1!$P$7:$P$8,Sheet1!$P$20:$P$21)</definedName>
    <definedName name="_xlchart.v1.23" hidden="1">(Sheet1!$P$7:$P$8,Sheet1!$P$20:$P$21,Sheet1!$P$34:$P$35)</definedName>
    <definedName name="_xlchart.v1.24" hidden="1">Sheet1!$C$46</definedName>
    <definedName name="_xlchart.v1.25" hidden="1">Sheet1!$D$7:$D$10</definedName>
    <definedName name="_xlchart.v1.26" hidden="1">Sheet1!$P$7:$P$8</definedName>
    <definedName name="_xlchart.v1.27" hidden="1">Sheet1!$B$34:$B$37</definedName>
    <definedName name="_xlchart.v1.28" hidden="1">Sheet1!$F$34:$F$37</definedName>
    <definedName name="_xlchart.v1.29" hidden="1">Sheet1!$J$34:$J$37</definedName>
    <definedName name="_xlchart.v1.3" hidden="1">(Sheet1!$C$7:$C$10,Sheet1!$C$20:$C$23,Sheet1!$C$34:$C$37,Sheet1!$G$7:$G$10)</definedName>
    <definedName name="_xlchart.v1.30" hidden="1">Sheet1!$B$20:$B$23</definedName>
    <definedName name="_xlchart.v1.31" hidden="1">Sheet1!$F$20:$F$23</definedName>
    <definedName name="_xlchart.v1.32" hidden="1">Sheet1!$J$20:$J$23</definedName>
    <definedName name="_xlchart.v1.33" hidden="1">Sheet1!$F$20:$F$23</definedName>
    <definedName name="_xlchart.v1.34" hidden="1">Sheet1!$F$34:$F$37</definedName>
    <definedName name="_xlchart.v1.35" hidden="1">Sheet1!$F$7:$F$10</definedName>
    <definedName name="_xlchart.v1.36" hidden="1">Sheet1!$N$20:$N$21</definedName>
    <definedName name="_xlchart.v1.37" hidden="1">Sheet1!$N$34:$N$35</definedName>
    <definedName name="_xlchart.v1.38" hidden="1">Sheet1!$N$7:$N$8</definedName>
    <definedName name="_xlchart.v1.39" hidden="1">Sheet1!$B$7:$B$10</definedName>
    <definedName name="_xlchart.v1.4" hidden="1">(Sheet1!$C$7:$C$10,Sheet1!$C$20:$C$23,Sheet1!$C$34:$C$37,Sheet1!$G$7:$G$10,Sheet1!$G$20:$G$23)</definedName>
    <definedName name="_xlchart.v1.40" hidden="1">Sheet1!$F$7:$F$10</definedName>
    <definedName name="_xlchart.v1.41" hidden="1">Sheet1!$J$7:$J$10</definedName>
    <definedName name="_xlchart.v1.42" hidden="1">Sheet1!$AA$27</definedName>
    <definedName name="_xlchart.v1.43" hidden="1">Sheet1!$J$12</definedName>
    <definedName name="_xlchart.v1.44" hidden="1">Sheet1!$J$19</definedName>
    <definedName name="_xlchart.v1.45" hidden="1">Sheet1!$J$20</definedName>
    <definedName name="_xlchart.v1.46" hidden="1">Sheet1!$J$25</definedName>
    <definedName name="_xlchart.v1.47" hidden="1">Sheet1!$J$39</definedName>
    <definedName name="_xlchart.v1.48" hidden="1">Sheet1!$J$7</definedName>
    <definedName name="_xlchart.v1.49" hidden="1">Sheet1!$N$12</definedName>
    <definedName name="_xlchart.v1.5" hidden="1">(Sheet1!$C$7:$C$10,Sheet1!$C$20:$C$23,Sheet1!$C$34:$C$37,Sheet1!$G$7:$G$10,Sheet1!$G$20:$G$23,Sheet1!$G$34:$G$37)</definedName>
    <definedName name="_xlchart.v1.50" hidden="1">Sheet1!$N$20</definedName>
    <definedName name="_xlchart.v1.51" hidden="1">Sheet1!$N$34</definedName>
    <definedName name="_xlchart.v1.6" hidden="1">(Sheet1!$C$7:$C$10,Sheet1!$C$20:$C$23,Sheet1!$C$34:$C$37,Sheet1!$G$7:$G$10,Sheet1!$G$20:$G$23,Sheet1!$G$34:$G$37,Sheet1!$K$7:$K$10)</definedName>
    <definedName name="_xlchart.v1.7" hidden="1">(Sheet1!$C$7:$C$10,Sheet1!$C$20:$C$23,Sheet1!$C$34:$C$37,Sheet1!$G$7:$G$10,Sheet1!$G$20:$G$23,Sheet1!$G$34:$G$37,Sheet1!$K$7:$K$10,Sheet1!$K$20:$K$23)</definedName>
    <definedName name="_xlchart.v1.8" hidden="1">(Sheet1!$C$7:$C$10,Sheet1!$C$20:$C$23,Sheet1!$C$34:$C$37,Sheet1!$G$7:$G$10,Sheet1!$G$20:$G$23,Sheet1!$G$34:$G$37,Sheet1!$K$7:$K$10,Sheet1!$K$20:$K$23,Sheet1!$K$34:$K$37)</definedName>
    <definedName name="_xlchart.v1.9" hidden="1">(Sheet1!$O$7:$O$8,Sheet1!$O$20:$O$21)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D41" i="1"/>
  <c r="F41" i="1"/>
  <c r="G41" i="1"/>
  <c r="H41" i="1"/>
  <c r="J41" i="1"/>
  <c r="K41" i="1"/>
  <c r="L41" i="1"/>
  <c r="N41" i="1"/>
  <c r="O41" i="1"/>
  <c r="P41" i="1"/>
  <c r="C40" i="1"/>
  <c r="D40" i="1"/>
  <c r="F40" i="1"/>
  <c r="G40" i="1"/>
  <c r="H40" i="1"/>
  <c r="J40" i="1"/>
  <c r="K40" i="1"/>
  <c r="L40" i="1"/>
  <c r="N40" i="1"/>
  <c r="O40" i="1"/>
  <c r="P40" i="1"/>
  <c r="C39" i="1"/>
  <c r="D39" i="1"/>
  <c r="F39" i="1"/>
  <c r="G39" i="1"/>
  <c r="H39" i="1"/>
  <c r="J39" i="1"/>
  <c r="K39" i="1"/>
  <c r="L39" i="1"/>
  <c r="N39" i="1"/>
  <c r="O39" i="1"/>
  <c r="P39" i="1"/>
  <c r="B41" i="1"/>
  <c r="B40" i="1"/>
  <c r="B39" i="1"/>
  <c r="C14" i="1"/>
  <c r="D14" i="1"/>
  <c r="F14" i="1"/>
  <c r="G14" i="1"/>
  <c r="H14" i="1"/>
  <c r="J14" i="1"/>
  <c r="K14" i="1"/>
  <c r="L14" i="1"/>
  <c r="N14" i="1"/>
  <c r="O14" i="1"/>
  <c r="P14" i="1"/>
  <c r="C13" i="1"/>
  <c r="D13" i="1"/>
  <c r="F13" i="1"/>
  <c r="G13" i="1"/>
  <c r="H13" i="1"/>
  <c r="J13" i="1"/>
  <c r="K13" i="1"/>
  <c r="L13" i="1"/>
  <c r="N13" i="1"/>
  <c r="O13" i="1"/>
  <c r="P13" i="1"/>
  <c r="C27" i="1"/>
  <c r="D27" i="1"/>
  <c r="F27" i="1"/>
  <c r="G27" i="1"/>
  <c r="H27" i="1"/>
  <c r="J27" i="1"/>
  <c r="K27" i="1"/>
  <c r="L27" i="1"/>
  <c r="N27" i="1"/>
  <c r="O27" i="1"/>
  <c r="P27" i="1"/>
  <c r="C26" i="1"/>
  <c r="D26" i="1"/>
  <c r="F26" i="1"/>
  <c r="G26" i="1"/>
  <c r="H26" i="1"/>
  <c r="J26" i="1"/>
  <c r="K26" i="1"/>
  <c r="L26" i="1"/>
  <c r="N26" i="1"/>
  <c r="O26" i="1"/>
  <c r="P26" i="1"/>
  <c r="C25" i="1"/>
  <c r="D25" i="1"/>
  <c r="F25" i="1"/>
  <c r="G25" i="1"/>
  <c r="H25" i="1"/>
  <c r="J25" i="1"/>
  <c r="K25" i="1"/>
  <c r="L25" i="1"/>
  <c r="N25" i="1"/>
  <c r="O25" i="1"/>
  <c r="P25" i="1"/>
  <c r="B27" i="1"/>
  <c r="B26" i="1"/>
  <c r="B25" i="1"/>
  <c r="F12" i="1"/>
  <c r="G12" i="1"/>
  <c r="H12" i="1"/>
  <c r="J12" i="1"/>
  <c r="K12" i="1"/>
  <c r="L12" i="1"/>
  <c r="N12" i="1"/>
  <c r="O12" i="1"/>
  <c r="P12" i="1"/>
  <c r="C12" i="1"/>
  <c r="D12" i="1"/>
  <c r="B14" i="1"/>
  <c r="B13" i="1"/>
  <c r="B12" i="1"/>
</calcChain>
</file>

<file path=xl/sharedStrings.xml><?xml version="1.0" encoding="utf-8"?>
<sst xmlns="http://schemas.openxmlformats.org/spreadsheetml/2006/main" count="52" uniqueCount="17">
  <si>
    <t xml:space="preserve">accuracy </t>
  </si>
  <si>
    <t xml:space="preserve">f1 score </t>
  </si>
  <si>
    <t xml:space="preserve">sensivity </t>
  </si>
  <si>
    <t xml:space="preserve">adjusted </t>
  </si>
  <si>
    <t>acc</t>
  </si>
  <si>
    <t>f1</t>
  </si>
  <si>
    <t>sens</t>
  </si>
  <si>
    <t xml:space="preserve">frozen backbone </t>
  </si>
  <si>
    <t>from_scratch</t>
  </si>
  <si>
    <t xml:space="preserve"> no adj</t>
  </si>
  <si>
    <t xml:space="preserve">Process 1 (Slice and stack) </t>
  </si>
  <si>
    <t xml:space="preserve">Process 2 (Slice and size) </t>
  </si>
  <si>
    <t>Process 3 (fft 400 Hz)</t>
  </si>
  <si>
    <t xml:space="preserve">mean </t>
  </si>
  <si>
    <t>max</t>
  </si>
  <si>
    <t>min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</si>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</sst>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Transfer</a:t>
            </a:r>
            <a:r>
              <a:rPr lang="de-DE" baseline="0"/>
              <a:t> learning "frozen Backbone"  compared to trained from scratch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Transform A acc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Sheet1!$J$12</c:f>
              <c:numCache>
                <c:formatCode>General</c:formatCode>
                <c:ptCount val="1"/>
                <c:pt idx="0">
                  <c:v>0.49672499999999997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F-426A-86B5-A528285049A7}"/>
            </c:ext>
          </c:extLst>
        </c:ser>
        <c:ser>
          <c:idx val="1"/>
          <c:order val="1"/>
          <c:tx>
            <c:v>Transform B acc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Sheet1!$J$25</c:f>
              <c:numCache>
                <c:formatCode>General</c:formatCode>
                <c:ptCount val="1"/>
                <c:pt idx="0">
                  <c:v>0.7792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2F-426A-86B5-A528285049A7}"/>
            </c:ext>
          </c:extLst>
        </c:ser>
        <c:ser>
          <c:idx val="2"/>
          <c:order val="2"/>
          <c:tx>
            <c:v>Transform FFT acc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Sheet1!$J$39</c:f>
              <c:numCache>
                <c:formatCode>General</c:formatCode>
                <c:ptCount val="1"/>
                <c:pt idx="0">
                  <c:v>0.80167500000000003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2F-426A-86B5-A528285049A7}"/>
            </c:ext>
          </c:extLst>
        </c:ser>
        <c:ser>
          <c:idx val="3"/>
          <c:order val="3"/>
          <c:tx>
            <c:v>Scratch Transform 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Sheet1!$N$12</c:f>
              <c:numCache>
                <c:formatCode>General</c:formatCode>
                <c:ptCount val="1"/>
                <c:pt idx="0">
                  <c:v>0.73134999999999994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2F-426A-86B5-A528285049A7}"/>
            </c:ext>
          </c:extLst>
        </c:ser>
        <c:ser>
          <c:idx val="4"/>
          <c:order val="4"/>
          <c:tx>
            <c:v>Scratch Transform B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Sheet1!$N$25</c:f>
              <c:numCache>
                <c:formatCode>General</c:formatCode>
                <c:ptCount val="1"/>
                <c:pt idx="0">
                  <c:v>0.7299500000000001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2F-426A-86B5-A528285049A7}"/>
            </c:ext>
          </c:extLst>
        </c:ser>
        <c:ser>
          <c:idx val="5"/>
          <c:order val="5"/>
          <c:tx>
            <c:v>Scratch Transform FFT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Sheet1!$N$39</c:f>
              <c:numCache>
                <c:formatCode>General</c:formatCode>
                <c:ptCount val="1"/>
                <c:pt idx="0">
                  <c:v>0.76229999999999998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2F-426A-86B5-A528285049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5098352"/>
        <c:axId val="1603996048"/>
      </c:barChart>
      <c:catAx>
        <c:axId val="160509835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    Transfer</a:t>
                </a:r>
                <a:r>
                  <a:rPr lang="de-DE" baseline="0"/>
                  <a:t> learned            Scratch 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0.18653662157757817"/>
              <c:y val="0.878740534460702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crossAx val="1603996048"/>
        <c:crosses val="autoZero"/>
        <c:auto val="1"/>
        <c:lblAlgn val="ctr"/>
        <c:lblOffset val="100"/>
        <c:noMultiLvlLbl val="0"/>
      </c:catAx>
      <c:valAx>
        <c:axId val="160399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0509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_xlchart.v1.39</cx:f>
      </cx:numDim>
    </cx:data>
    <cx:data id="1">
      <cx:numDim type="val">
        <cx:f>_xlchart.v1.40</cx:f>
      </cx:numDim>
    </cx:data>
    <cx:data id="2">
      <cx:numDim type="val">
        <cx:f>_xlchart.v1.41</cx:f>
      </cx:numDim>
    </cx:data>
  </cx:chartData>
  <cx:chart>
    <cx:title pos="t" align="ctr" overlay="0">
      <cx:tx>
        <cx:txData>
          <cx:v>Fine-Tuned ShuffleNet V2  Model using transformation A (slice and stack)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Fine-Tuned ShuffleNet V2  Model using transformation A (slice and stack)</a:t>
          </a:r>
        </a:p>
      </cx:txPr>
    </cx:title>
    <cx:plotArea>
      <cx:plotAreaRegion>
        <cx:series layoutId="boxWhisker" uniqueId="{56FB890D-AA40-44D2-A792-280FB8584E3F}" formatIdx="0">
          <cx:tx>
            <cx:txData>
              <cx:f/>
              <cx:v>Imbalanced Acc</cx:v>
            </cx:txData>
          </cx:tx>
          <cx:spPr>
            <a:solidFill>
              <a:schemeClr val="accent2"/>
            </a:solidFill>
            <a:ln>
              <a:solidFill>
                <a:schemeClr val="accent2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665E-426A-A058-C183458EDC56}" formatIdx="1">
          <cx:tx>
            <cx:txData>
              <cx:f/>
              <cx:v>Balanced Acc</cx:v>
            </cx:txData>
          </cx:tx>
          <cx:spPr>
            <a:solidFill>
              <a:schemeClr val="accent3"/>
            </a:solidFill>
            <a:ln>
              <a:solidFill>
                <a:schemeClr val="accent3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2-665E-426A-A058-C183458EDC56}" formatIdx="2">
          <cx:tx>
            <cx:txData>
              <cx:f/>
              <cx:v>Frozen_Backbone Acc</cx:v>
            </cx:txData>
          </cx:tx>
          <cx:spPr>
            <a:solidFill>
              <a:schemeClr val="accent1"/>
            </a:solidFill>
            <a:ln>
              <a:solidFill>
                <a:schemeClr val="accent1"/>
              </a:solidFill>
            </a:ln>
          </cx:spPr>
          <cx:dataId val="2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/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 max="0.90000000000000002" min="0.30000000000000004"/>
        <cx:title>
          <cx:tx>
            <cx:txData>
              <cx:v>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  <cx:data id="1">
      <cx:numDim type="val">
        <cx:f>_xlchart.v1.31</cx:f>
      </cx:numDim>
    </cx:data>
    <cx:data id="2">
      <cx:numDim type="val">
        <cx:f>_xlchart.v1.32</cx:f>
      </cx:numDim>
    </cx:data>
  </cx:chartData>
  <cx:chart>
    <cx:title pos="t" align="ctr" overlay="0">
      <cx:tx>
        <cx:txData>
          <cx:v>Fine tuned ShuffleNet V2 Model using  Transformation B (slice and size)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Fine tuned ShuffleNet V2 Model using  Transformation B (slice and size)</a:t>
          </a:r>
        </a:p>
      </cx:txPr>
    </cx:title>
    <cx:plotArea>
      <cx:plotAreaRegion>
        <cx:series layoutId="boxWhisker" uniqueId="{3CF22D46-27AC-454C-8D51-CE22327AF2DC}">
          <cx:tx>
            <cx:txData>
              <cx:f/>
              <cx:v>Imbalanced Acc </cx:v>
            </cx:txData>
          </cx:tx>
          <cx:spPr>
            <a:solidFill>
              <a:schemeClr val="accent2"/>
            </a:solidFill>
            <a:ln>
              <a:solidFill>
                <a:schemeClr val="accent2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CE7C-4AEB-8625-496CA6A65360}">
          <cx:tx>
            <cx:txData>
              <cx:f/>
              <cx:v>Balanced Acc</cx:v>
            </cx:txData>
          </cx:tx>
          <cx:spPr>
            <a:solidFill>
              <a:schemeClr val="accent3"/>
            </a:solidFill>
            <a:ln>
              <a:solidFill>
                <a:schemeClr val="accent3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2-CE7C-4AEB-8625-496CA6A65360}">
          <cx:tx>
            <cx:txData>
              <cx:f/>
              <cx:v>Frozen Backbone Acc</cx:v>
            </cx:txData>
          </cx:tx>
          <cx:spPr>
            <a:solidFill>
              <a:schemeClr val="accent1"/>
            </a:solidFill>
            <a:ln>
              <a:solidFill>
                <a:schemeClr val="accent1"/>
              </a:solidFill>
            </a:ln>
          </cx:spPr>
          <cx:dataId val="2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0.5"/>
        <cx:title>
          <cx:tx>
            <cx:txData>
              <cx:v>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  <cx:data id="1">
      <cx:numDim type="val">
        <cx:f>_xlchart.v1.28</cx:f>
      </cx:numDim>
    </cx:data>
    <cx:data id="2">
      <cx:numDim type="val">
        <cx:f>_xlchart.v1.29</cx:f>
      </cx:numDim>
    </cx:data>
  </cx:chartData>
  <cx:chart>
    <cx:title pos="t" align="ctr" overlay="0">
      <cx:tx>
        <cx:txData>
          <cx:v>Fine tuned ShufflNet V2 Model using  FFT Transform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Fine tuned ShufflNet V2 Model using  FFT Transform</a:t>
          </a:r>
        </a:p>
      </cx:txPr>
    </cx:title>
    <cx:plotArea>
      <cx:plotAreaRegion>
        <cx:series layoutId="boxWhisker" uniqueId="{6C3B9BE3-AF5C-4955-8F88-E6C985E03927}" formatIdx="0">
          <cx:tx>
            <cx:txData>
              <cx:f/>
              <cx:v>Imbalanced acc</cx:v>
            </cx:txData>
          </cx:tx>
          <cx:spPr>
            <a:solidFill>
              <a:schemeClr val="accent2"/>
            </a:solidFill>
            <a:ln>
              <a:solidFill>
                <a:schemeClr val="accent2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2-00E4-4371-9BCA-95CCDCA238B1}">
          <cx:tx>
            <cx:txData>
              <cx:f/>
              <cx:v>Balanced_Acc</cx:v>
            </cx:txData>
          </cx:tx>
          <cx:spPr>
            <a:solidFill>
              <a:schemeClr val="accent3"/>
            </a:solidFill>
            <a:ln>
              <a:solidFill>
                <a:schemeClr val="accent3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3-00E4-4371-9BCA-95CCDCA238B1}">
          <cx:tx>
            <cx:txData>
              <cx:f/>
              <cx:v>Frozen Backbone Acc</cx:v>
            </cx:txData>
          </cx:tx>
          <cx:spPr>
            <a:solidFill>
              <a:schemeClr val="accent1"/>
            </a:solidFill>
            <a:ln>
              <a:solidFill>
                <a:schemeClr val="accent1"/>
              </a:solidFill>
            </a:ln>
          </cx:spPr>
          <cx:dataId val="2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  <cx:data id="1">
      <cx:numDim type="val">
        <cx:f>_xlchart.v1.33</cx:f>
      </cx:numDim>
    </cx:data>
    <cx:data id="2">
      <cx:numDim type="val">
        <cx:f>_xlchart.v1.34</cx:f>
      </cx:numDim>
    </cx:data>
    <cx:data id="3">
      <cx:numDim type="val">
        <cx:f>_xlchart.v1.38</cx:f>
      </cx:numDim>
    </cx:data>
    <cx:data id="4">
      <cx:numDim type="val">
        <cx:f>_xlchart.v1.36</cx:f>
      </cx:numDim>
    </cx:data>
    <cx:data id="5">
      <cx:numDim type="val">
        <cx:f>_xlchart.v1.37</cx:f>
      </cx:numDim>
    </cx:data>
  </cx:chartData>
  <cx:chart>
    <cx:title pos="t" align="ctr" overlay="0">
      <cx:tx>
        <cx:txData>
          <cx:v>Transfer learning compared to trained from scratch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Transfer learning compared to trained from scratch </a:t>
          </a:r>
        </a:p>
      </cx:txPr>
    </cx:title>
    <cx:plotArea>
      <cx:plotAreaRegion>
        <cx:plotSurface>
          <cx:spPr>
            <a:ln>
              <a:solidFill>
                <a:schemeClr val="accent1"/>
              </a:solidFill>
            </a:ln>
          </cx:spPr>
        </cx:plotSurface>
        <cx:series layoutId="boxWhisker" uniqueId="{07F94766-19B7-4679-8585-FE9CC036CA72}">
          <cx:tx>
            <cx:txData>
              <cx:v>Transform A acc</cx:v>
            </cx:txData>
          </cx:tx>
          <cx:spPr>
            <a:solidFill>
              <a:schemeClr val="accent2"/>
            </a:solidFill>
            <a:ln>
              <a:solidFill>
                <a:schemeClr val="accent2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A5DC-4435-82C2-8283D98D6F38}">
          <cx:tx>
            <cx:txData>
              <cx:v>Transform B Acc</cx:v>
            </cx:txData>
          </cx:tx>
          <cx:spPr>
            <a:solidFill>
              <a:schemeClr val="accent1"/>
            </a:solidFill>
            <a:ln>
              <a:solidFill>
                <a:schemeClr val="accent1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2-A5DC-4435-82C2-8283D98D6F38}">
          <cx:tx>
            <cx:txData>
              <cx:v>Transform FFT acc</cx:v>
            </cx:txData>
          </cx:tx>
          <cx:spPr>
            <a:solidFill>
              <a:schemeClr val="accent3"/>
            </a:solidFill>
            <a:ln>
              <a:solidFill>
                <a:schemeClr val="accent3"/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00000003-A5DC-4435-82C2-8283D98D6F38}">
          <cx:tx>
            <cx:txData>
              <cx:v>Scratch Transform A</cx:v>
            </cx:txData>
          </cx:tx>
          <cx:dataId val="3"/>
          <cx:layoutPr>
            <cx:statistics quartileMethod="exclusive"/>
          </cx:layoutPr>
        </cx:series>
        <cx:series layoutId="boxWhisker" uniqueId="{00000004-A5DC-4435-82C2-8283D98D6F38}">
          <cx:tx>
            <cx:txData>
              <cx:v>Scratch Transform B</cx:v>
            </cx:txData>
          </cx:tx>
          <cx:dataId val="4"/>
          <cx:layoutPr>
            <cx:statistics quartileMethod="exclusive"/>
          </cx:layoutPr>
        </cx:series>
        <cx:series layoutId="boxWhisker" uniqueId="{00000005-A5DC-4435-82C2-8283D98D6F38}">
          <cx:tx>
            <cx:txData>
              <cx:v>Scratch FFT</cx:v>
            </cx:txData>
          </cx:tx>
          <cx:dataId val="5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0.40000000000000002"/>
        <cx:title>
          <cx:tx>
            <cx:txData>
              <cx:v>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</cx:chartData>
  <cx:chart>
    <cx:title pos="t" align="ctr" overlay="0">
      <cx:tx>
        <cx:txData>
          <cx:v>Sensitivy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Sensitivy </a:t>
          </a:r>
        </a:p>
      </cx:txPr>
    </cx:title>
    <cx:plotArea>
      <cx:plotAreaRegion>
        <cx:series layoutId="boxWhisker" uniqueId="{FB460813-2991-4CE6-9F03-BFF5F8F2216C}">
          <cx:tx>
            <cx:txData>
              <cx:v>Transfer learning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A872-41DB-AD1B-DF1CF260F235}">
          <cx:tx>
            <cx:txData>
              <cx:v>Trained from Scratch 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 max="1" min="0.40000000000000002"/>
        <cx:title>
          <cx:tx>
            <cx:txData>
              <cx:v>sensitivity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sensitivity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_xlchart.v1.10</cx:f>
      </cx:numDim>
    </cx:data>
  </cx:chartData>
  <cx:chart>
    <cx:title pos="t" align="ctr" overlay="0">
      <cx:tx>
        <cx:txData>
          <cx:v>F1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F1 Score</a:t>
          </a:r>
        </a:p>
      </cx:txPr>
    </cx:title>
    <cx:plotArea>
      <cx:plotAreaRegion>
        <cx:series layoutId="boxWhisker" uniqueId="{56CA1192-541A-4D8B-93A5-693647C2F09E}">
          <cx:tx>
            <cx:txData>
              <cx:v>Transfer learning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67FB-4E14-8091-A832B328D013}">
          <cx:tx>
            <cx:txData>
              <cx:v>Trained from Scratch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F1 Score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F1 Score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microsoft.com/office/2014/relationships/chartEx" Target="../charts/chartEx6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5.xml"/><Relationship Id="rId5" Type="http://schemas.openxmlformats.org/officeDocument/2006/relationships/chart" Target="../charts/chart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397329</xdr:colOff>
      <xdr:row>1</xdr:row>
      <xdr:rowOff>26534</xdr:rowOff>
    </xdr:from>
    <xdr:to>
      <xdr:col>24</xdr:col>
      <xdr:colOff>370115</xdr:colOff>
      <xdr:row>16</xdr:row>
      <xdr:rowOff>57829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BE4FA4C-755F-4511-F1F8-98C209D689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72875" y="208870"/>
              <a:ext cx="4572001" cy="2741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35379</xdr:colOff>
      <xdr:row>16</xdr:row>
      <xdr:rowOff>180294</xdr:rowOff>
    </xdr:from>
    <xdr:to>
      <xdr:col>24</xdr:col>
      <xdr:colOff>10886</xdr:colOff>
      <xdr:row>32</xdr:row>
      <xdr:rowOff>27894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4D0DC6A-218B-9A6E-1236-567FDDB584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8204" y="3077255"/>
              <a:ext cx="4574721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273504</xdr:colOff>
      <xdr:row>34</xdr:row>
      <xdr:rowOff>18369</xdr:rowOff>
    </xdr:from>
    <xdr:to>
      <xdr:col>24</xdr:col>
      <xdr:colOff>249011</xdr:colOff>
      <xdr:row>49</xdr:row>
      <xdr:rowOff>46944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45C2B1B-AC77-5787-1631-C09E2AD3FC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50411" y="6174240"/>
              <a:ext cx="4569279" cy="27391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436790</xdr:colOff>
      <xdr:row>1</xdr:row>
      <xdr:rowOff>93208</xdr:rowOff>
    </xdr:from>
    <xdr:to>
      <xdr:col>32</xdr:col>
      <xdr:colOff>408215</xdr:colOff>
      <xdr:row>22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F01C9E5-EECF-E25A-0F1E-9684FEB76F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70136" y="276904"/>
              <a:ext cx="4570640" cy="3788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55790</xdr:colOff>
      <xdr:row>24</xdr:row>
      <xdr:rowOff>75519</xdr:rowOff>
    </xdr:from>
    <xdr:to>
      <xdr:col>32</xdr:col>
      <xdr:colOff>29936</xdr:colOff>
      <xdr:row>39</xdr:row>
      <xdr:rowOff>105455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A2C84E-F7A9-387D-76BE-58F56AD19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533400</xdr:colOff>
      <xdr:row>44</xdr:row>
      <xdr:rowOff>125865</xdr:rowOff>
    </xdr:from>
    <xdr:to>
      <xdr:col>7</xdr:col>
      <xdr:colOff>630011</xdr:colOff>
      <xdr:row>64</xdr:row>
      <xdr:rowOff>133349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999BC8FA-1CB8-E8A8-EB7B-9FFA2DE65A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" y="8088765"/>
              <a:ext cx="4697186" cy="36269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445633</xdr:colOff>
      <xdr:row>46</xdr:row>
      <xdr:rowOff>151719</xdr:rowOff>
    </xdr:from>
    <xdr:to>
      <xdr:col>15</xdr:col>
      <xdr:colOff>410255</xdr:colOff>
      <xdr:row>61</xdr:row>
      <xdr:rowOff>180294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E7F7E0E-C24C-E315-A446-6AE11D1C40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3433" y="8476569"/>
              <a:ext cx="456519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4851-D061-4748-8A23-9647A42B5416}">
  <dimension ref="A2:P41"/>
  <sheetViews>
    <sheetView tabSelected="1" topLeftCell="A31" workbookViewId="0">
      <selection activeCell="R57" sqref="R57"/>
    </sheetView>
  </sheetViews>
  <sheetFormatPr defaultRowHeight="14.6" x14ac:dyDescent="0.4"/>
  <sheetData>
    <row r="2" spans="1:16" x14ac:dyDescent="0.4">
      <c r="B2" s="1" t="s">
        <v>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16" x14ac:dyDescent="0.4">
      <c r="B4" s="1" t="s">
        <v>9</v>
      </c>
      <c r="C4" s="1"/>
      <c r="F4" s="1" t="s">
        <v>3</v>
      </c>
      <c r="G4" s="1"/>
      <c r="J4" s="1" t="s">
        <v>7</v>
      </c>
      <c r="K4" s="1"/>
      <c r="N4" s="1" t="s">
        <v>8</v>
      </c>
      <c r="O4" s="1"/>
    </row>
    <row r="6" spans="1:16" x14ac:dyDescent="0.4">
      <c r="B6" t="s">
        <v>0</v>
      </c>
      <c r="C6" t="s">
        <v>1</v>
      </c>
      <c r="D6" t="s">
        <v>2</v>
      </c>
      <c r="F6" t="s">
        <v>4</v>
      </c>
      <c r="G6" t="s">
        <v>5</v>
      </c>
      <c r="H6" t="s">
        <v>6</v>
      </c>
      <c r="J6" t="s">
        <v>4</v>
      </c>
      <c r="K6" t="s">
        <v>5</v>
      </c>
      <c r="L6" t="s">
        <v>6</v>
      </c>
      <c r="N6" t="s">
        <v>4</v>
      </c>
      <c r="O6" t="s">
        <v>5</v>
      </c>
      <c r="P6" t="s">
        <v>6</v>
      </c>
    </row>
    <row r="7" spans="1:16" x14ac:dyDescent="0.4">
      <c r="A7">
        <v>1</v>
      </c>
      <c r="B7">
        <v>0.61899999999999999</v>
      </c>
      <c r="C7">
        <v>0.29220000000000002</v>
      </c>
      <c r="D7">
        <v>0.70930000000000004</v>
      </c>
      <c r="F7">
        <v>0.4355</v>
      </c>
      <c r="G7">
        <v>0.1958</v>
      </c>
      <c r="H7">
        <v>0.73260000000000003</v>
      </c>
      <c r="J7">
        <v>0.49430000000000002</v>
      </c>
      <c r="K7">
        <v>0.22650000000000001</v>
      </c>
      <c r="L7">
        <v>0.93020000000000003</v>
      </c>
      <c r="N7">
        <v>0.72850000000000004</v>
      </c>
      <c r="O7">
        <v>0.61939999999999995</v>
      </c>
      <c r="P7">
        <v>0.45910000000000001</v>
      </c>
    </row>
    <row r="8" spans="1:16" x14ac:dyDescent="0.4">
      <c r="A8">
        <v>2</v>
      </c>
      <c r="B8">
        <v>0.53029999999999999</v>
      </c>
      <c r="C8">
        <v>0.24160000000000001</v>
      </c>
      <c r="D8">
        <v>0.98839999999999995</v>
      </c>
      <c r="F8">
        <v>0.76900000000000002</v>
      </c>
      <c r="G8">
        <v>0.49009999999999998</v>
      </c>
      <c r="H8">
        <v>0.72089999999999999</v>
      </c>
      <c r="J8">
        <v>0.48930000000000001</v>
      </c>
      <c r="K8">
        <v>0.22239999999999999</v>
      </c>
      <c r="L8">
        <v>0.86629999999999996</v>
      </c>
      <c r="N8">
        <v>0.73419999999999996</v>
      </c>
      <c r="O8">
        <v>0.59119999999999995</v>
      </c>
      <c r="P8">
        <v>0.51339999999999997</v>
      </c>
    </row>
    <row r="9" spans="1:16" x14ac:dyDescent="0.4">
      <c r="A9">
        <v>3</v>
      </c>
      <c r="B9">
        <v>0.57999999999999996</v>
      </c>
      <c r="C9">
        <v>0.26340000000000002</v>
      </c>
      <c r="D9">
        <v>0.84389999999999998</v>
      </c>
      <c r="F9">
        <v>0.59650000000000003</v>
      </c>
      <c r="G9">
        <v>0.27610000000000001</v>
      </c>
      <c r="H9">
        <v>0.66859999999999997</v>
      </c>
      <c r="J9">
        <v>0.4698</v>
      </c>
      <c r="K9">
        <v>0.21079999999999999</v>
      </c>
      <c r="L9">
        <v>0.77329999999999999</v>
      </c>
    </row>
    <row r="10" spans="1:16" x14ac:dyDescent="0.4">
      <c r="A10">
        <v>4</v>
      </c>
      <c r="B10">
        <v>0.45639999999999997</v>
      </c>
      <c r="C10">
        <v>0.18260000000000001</v>
      </c>
      <c r="D10">
        <v>0.48826000000000003</v>
      </c>
      <c r="F10">
        <v>0.76039999999999996</v>
      </c>
      <c r="G10">
        <v>0.40739999999999998</v>
      </c>
      <c r="H10">
        <v>0.89529999999999998</v>
      </c>
      <c r="J10">
        <v>0.53349999999999997</v>
      </c>
      <c r="K10">
        <v>0.2412</v>
      </c>
      <c r="L10">
        <v>0.89529999999999998</v>
      </c>
    </row>
    <row r="12" spans="1:16" x14ac:dyDescent="0.4">
      <c r="A12" t="s">
        <v>13</v>
      </c>
      <c r="B12">
        <f>AVERAGE(B7:B10)</f>
        <v>0.54642499999999994</v>
      </c>
      <c r="C12">
        <f t="shared" ref="C12:P12" si="0">AVERAGE(C7:C10)</f>
        <v>0.24495000000000003</v>
      </c>
      <c r="D12">
        <f t="shared" si="0"/>
        <v>0.75746499999999994</v>
      </c>
      <c r="F12">
        <f t="shared" si="0"/>
        <v>0.64034999999999997</v>
      </c>
      <c r="G12">
        <f t="shared" si="0"/>
        <v>0.34234999999999999</v>
      </c>
      <c r="H12">
        <f t="shared" si="0"/>
        <v>0.75435000000000008</v>
      </c>
      <c r="J12">
        <f t="shared" si="0"/>
        <v>0.49672499999999997</v>
      </c>
      <c r="K12">
        <f t="shared" si="0"/>
        <v>0.22522499999999998</v>
      </c>
      <c r="L12">
        <f t="shared" si="0"/>
        <v>0.86627499999999991</v>
      </c>
      <c r="N12">
        <f t="shared" si="0"/>
        <v>0.73134999999999994</v>
      </c>
      <c r="O12">
        <f t="shared" si="0"/>
        <v>0.60529999999999995</v>
      </c>
      <c r="P12">
        <f t="shared" si="0"/>
        <v>0.48624999999999996</v>
      </c>
    </row>
    <row r="13" spans="1:16" x14ac:dyDescent="0.4">
      <c r="A13" t="s">
        <v>14</v>
      </c>
      <c r="B13">
        <f>MAX(B7:B10)</f>
        <v>0.61899999999999999</v>
      </c>
      <c r="C13">
        <f t="shared" ref="C13:P13" si="1">MAX(C7:C10)</f>
        <v>0.29220000000000002</v>
      </c>
      <c r="D13">
        <f t="shared" si="1"/>
        <v>0.98839999999999995</v>
      </c>
      <c r="F13">
        <f t="shared" si="1"/>
        <v>0.76900000000000002</v>
      </c>
      <c r="G13">
        <f t="shared" si="1"/>
        <v>0.49009999999999998</v>
      </c>
      <c r="H13">
        <f t="shared" si="1"/>
        <v>0.89529999999999998</v>
      </c>
      <c r="J13">
        <f t="shared" si="1"/>
        <v>0.53349999999999997</v>
      </c>
      <c r="K13">
        <f t="shared" si="1"/>
        <v>0.2412</v>
      </c>
      <c r="L13">
        <f t="shared" si="1"/>
        <v>0.93020000000000003</v>
      </c>
      <c r="N13">
        <f t="shared" si="1"/>
        <v>0.73419999999999996</v>
      </c>
      <c r="O13">
        <f t="shared" si="1"/>
        <v>0.61939999999999995</v>
      </c>
      <c r="P13">
        <f t="shared" si="1"/>
        <v>0.51339999999999997</v>
      </c>
    </row>
    <row r="14" spans="1:16" x14ac:dyDescent="0.4">
      <c r="A14" t="s">
        <v>15</v>
      </c>
      <c r="B14">
        <f>MIN(B7:B10)</f>
        <v>0.45639999999999997</v>
      </c>
      <c r="C14">
        <f t="shared" ref="C14:P14" si="2">MIN(C7:C10)</f>
        <v>0.18260000000000001</v>
      </c>
      <c r="D14">
        <f t="shared" si="2"/>
        <v>0.48826000000000003</v>
      </c>
      <c r="F14">
        <f t="shared" si="2"/>
        <v>0.4355</v>
      </c>
      <c r="G14">
        <f t="shared" si="2"/>
        <v>0.1958</v>
      </c>
      <c r="H14">
        <f t="shared" si="2"/>
        <v>0.66859999999999997</v>
      </c>
      <c r="J14">
        <f t="shared" si="2"/>
        <v>0.4698</v>
      </c>
      <c r="K14">
        <f t="shared" si="2"/>
        <v>0.21079999999999999</v>
      </c>
      <c r="L14">
        <f t="shared" si="2"/>
        <v>0.77329999999999999</v>
      </c>
      <c r="N14">
        <f t="shared" si="2"/>
        <v>0.72850000000000004</v>
      </c>
      <c r="O14">
        <f t="shared" si="2"/>
        <v>0.59119999999999995</v>
      </c>
      <c r="P14">
        <f t="shared" si="2"/>
        <v>0.45910000000000001</v>
      </c>
    </row>
    <row r="18" spans="1:16" x14ac:dyDescent="0.4">
      <c r="B18" s="1" t="s">
        <v>11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4">
      <c r="B19" t="s">
        <v>4</v>
      </c>
      <c r="C19" t="s">
        <v>5</v>
      </c>
      <c r="D19" t="s">
        <v>6</v>
      </c>
      <c r="F19" t="s">
        <v>4</v>
      </c>
      <c r="G19" t="s">
        <v>5</v>
      </c>
      <c r="H19" t="s">
        <v>6</v>
      </c>
      <c r="J19" t="s">
        <v>4</v>
      </c>
      <c r="K19" t="s">
        <v>5</v>
      </c>
      <c r="L19" t="s">
        <v>6</v>
      </c>
      <c r="N19" t="s">
        <v>4</v>
      </c>
      <c r="O19" t="s">
        <v>5</v>
      </c>
      <c r="P19" t="s">
        <v>6</v>
      </c>
    </row>
    <row r="20" spans="1:16" x14ac:dyDescent="0.4">
      <c r="A20">
        <v>1</v>
      </c>
      <c r="B20">
        <v>0.71719999999999995</v>
      </c>
      <c r="C20">
        <v>0.37569999999999998</v>
      </c>
      <c r="D20">
        <v>0.80810000000000004</v>
      </c>
      <c r="F20">
        <v>0.63719999999999999</v>
      </c>
      <c r="G20">
        <v>0.3034</v>
      </c>
      <c r="H20">
        <v>0.76739999999999997</v>
      </c>
      <c r="J20">
        <v>0.79990000000000006</v>
      </c>
      <c r="K20">
        <v>0.55459999999999998</v>
      </c>
      <c r="L20">
        <v>0.73839999999999995</v>
      </c>
      <c r="N20">
        <v>0.73760000000000003</v>
      </c>
      <c r="O20">
        <v>0.60529999999999995</v>
      </c>
      <c r="P20">
        <v>0.4864</v>
      </c>
    </row>
    <row r="21" spans="1:16" x14ac:dyDescent="0.4">
      <c r="A21">
        <v>2</v>
      </c>
      <c r="B21">
        <v>0.74490000000000001</v>
      </c>
      <c r="C21">
        <v>0.42009999999999997</v>
      </c>
      <c r="D21">
        <v>0.77910000000000001</v>
      </c>
      <c r="F21">
        <v>0.81110000000000004</v>
      </c>
      <c r="G21">
        <v>0.69540000000000002</v>
      </c>
      <c r="H21">
        <v>0.65700000000000003</v>
      </c>
      <c r="J21">
        <v>0.76229999999999998</v>
      </c>
      <c r="K21">
        <v>0.48220000000000002</v>
      </c>
      <c r="L21">
        <v>0.70930000000000004</v>
      </c>
      <c r="N21">
        <v>0.72230000000000005</v>
      </c>
      <c r="O21">
        <v>0.58169999999999999</v>
      </c>
      <c r="P21">
        <v>0.46229999999999999</v>
      </c>
    </row>
    <row r="22" spans="1:16" x14ac:dyDescent="0.4">
      <c r="A22">
        <v>3</v>
      </c>
      <c r="B22">
        <v>0.68740000000000001</v>
      </c>
      <c r="C22">
        <v>0.37540000000000001</v>
      </c>
      <c r="D22">
        <v>0.63949999999999996</v>
      </c>
      <c r="F22">
        <v>0.79210000000000003</v>
      </c>
      <c r="G22">
        <v>0.48049999999999998</v>
      </c>
      <c r="H22">
        <v>0.8256</v>
      </c>
      <c r="J22">
        <v>0.81489999999999996</v>
      </c>
      <c r="K22">
        <v>0.60580000000000001</v>
      </c>
      <c r="L22">
        <v>0.73260000000000003</v>
      </c>
    </row>
    <row r="23" spans="1:16" x14ac:dyDescent="0.4">
      <c r="A23">
        <v>4</v>
      </c>
      <c r="B23">
        <v>0.70950000000000002</v>
      </c>
      <c r="C23">
        <v>0.44240000000000002</v>
      </c>
      <c r="D23">
        <v>0.56979999999999997</v>
      </c>
      <c r="F23">
        <v>0.6552</v>
      </c>
      <c r="G23">
        <v>0.316</v>
      </c>
      <c r="H23">
        <v>0.79649999999999999</v>
      </c>
      <c r="J23">
        <v>0.73970000000000002</v>
      </c>
      <c r="K23">
        <v>0.40710000000000002</v>
      </c>
      <c r="L23">
        <v>0.79649999999999999</v>
      </c>
    </row>
    <row r="25" spans="1:16" x14ac:dyDescent="0.4">
      <c r="A25" t="s">
        <v>16</v>
      </c>
      <c r="B25">
        <f>AVERAGE(B20:B23)</f>
        <v>0.71475</v>
      </c>
      <c r="C25">
        <f t="shared" ref="C25:P25" si="3">AVERAGE(C20:C23)</f>
        <v>0.40339999999999998</v>
      </c>
      <c r="D25">
        <f t="shared" si="3"/>
        <v>0.699125</v>
      </c>
      <c r="F25">
        <f t="shared" si="3"/>
        <v>0.72389999999999999</v>
      </c>
      <c r="G25">
        <f t="shared" si="3"/>
        <v>0.44882500000000003</v>
      </c>
      <c r="H25">
        <f t="shared" si="3"/>
        <v>0.761625</v>
      </c>
      <c r="J25">
        <f t="shared" si="3"/>
        <v>0.7792</v>
      </c>
      <c r="K25">
        <f t="shared" si="3"/>
        <v>0.51242499999999991</v>
      </c>
      <c r="L25">
        <f t="shared" si="3"/>
        <v>0.74419999999999997</v>
      </c>
      <c r="N25">
        <f t="shared" si="3"/>
        <v>0.7299500000000001</v>
      </c>
      <c r="O25">
        <f t="shared" si="3"/>
        <v>0.59349999999999992</v>
      </c>
      <c r="P25">
        <f t="shared" si="3"/>
        <v>0.47434999999999999</v>
      </c>
    </row>
    <row r="26" spans="1:16" x14ac:dyDescent="0.4">
      <c r="A26" t="s">
        <v>14</v>
      </c>
      <c r="B26">
        <f>MAX(B20:B23)</f>
        <v>0.74490000000000001</v>
      </c>
      <c r="C26">
        <f t="shared" ref="C26:P26" si="4">MAX(C20:C23)</f>
        <v>0.44240000000000002</v>
      </c>
      <c r="D26">
        <f t="shared" si="4"/>
        <v>0.80810000000000004</v>
      </c>
      <c r="F26">
        <f t="shared" si="4"/>
        <v>0.81110000000000004</v>
      </c>
      <c r="G26">
        <f t="shared" si="4"/>
        <v>0.69540000000000002</v>
      </c>
      <c r="H26">
        <f t="shared" si="4"/>
        <v>0.8256</v>
      </c>
      <c r="J26">
        <f t="shared" si="4"/>
        <v>0.81489999999999996</v>
      </c>
      <c r="K26">
        <f t="shared" si="4"/>
        <v>0.60580000000000001</v>
      </c>
      <c r="L26">
        <f t="shared" si="4"/>
        <v>0.79649999999999999</v>
      </c>
      <c r="N26">
        <f t="shared" si="4"/>
        <v>0.73760000000000003</v>
      </c>
      <c r="O26">
        <f t="shared" si="4"/>
        <v>0.60529999999999995</v>
      </c>
      <c r="P26">
        <f t="shared" si="4"/>
        <v>0.4864</v>
      </c>
    </row>
    <row r="27" spans="1:16" x14ac:dyDescent="0.4">
      <c r="A27" t="s">
        <v>15</v>
      </c>
      <c r="B27">
        <f>MIN(B20:B23)</f>
        <v>0.68740000000000001</v>
      </c>
      <c r="C27">
        <f t="shared" ref="C27:P27" si="5">MIN(C20:C23)</f>
        <v>0.37540000000000001</v>
      </c>
      <c r="D27">
        <f t="shared" si="5"/>
        <v>0.56979999999999997</v>
      </c>
      <c r="F27">
        <f t="shared" si="5"/>
        <v>0.63719999999999999</v>
      </c>
      <c r="G27">
        <f t="shared" si="5"/>
        <v>0.3034</v>
      </c>
      <c r="H27">
        <f t="shared" si="5"/>
        <v>0.65700000000000003</v>
      </c>
      <c r="J27">
        <f t="shared" si="5"/>
        <v>0.73970000000000002</v>
      </c>
      <c r="K27">
        <f t="shared" si="5"/>
        <v>0.40710000000000002</v>
      </c>
      <c r="L27">
        <f t="shared" si="5"/>
        <v>0.70930000000000004</v>
      </c>
      <c r="N27">
        <f t="shared" si="5"/>
        <v>0.72230000000000005</v>
      </c>
      <c r="O27">
        <f t="shared" si="5"/>
        <v>0.58169999999999999</v>
      </c>
      <c r="P27">
        <f t="shared" si="5"/>
        <v>0.46229999999999999</v>
      </c>
    </row>
    <row r="31" spans="1:16" x14ac:dyDescent="0.4">
      <c r="B31" s="1" t="s">
        <v>12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3" spans="1:16" x14ac:dyDescent="0.4">
      <c r="B33" t="s">
        <v>4</v>
      </c>
      <c r="C33" t="s">
        <v>5</v>
      </c>
      <c r="D33" t="s">
        <v>6</v>
      </c>
      <c r="F33" t="s">
        <v>4</v>
      </c>
      <c r="G33" t="s">
        <v>5</v>
      </c>
      <c r="H33" t="s">
        <v>6</v>
      </c>
      <c r="J33" t="s">
        <v>4</v>
      </c>
      <c r="K33" t="s">
        <v>5</v>
      </c>
      <c r="L33" t="s">
        <v>6</v>
      </c>
      <c r="N33" t="s">
        <v>4</v>
      </c>
      <c r="O33" t="s">
        <v>5</v>
      </c>
      <c r="P33" t="s">
        <v>6</v>
      </c>
    </row>
    <row r="34" spans="1:16" x14ac:dyDescent="0.4">
      <c r="A34">
        <v>1</v>
      </c>
      <c r="B34">
        <v>0.84950000000000003</v>
      </c>
      <c r="C34">
        <v>0.69869999999999999</v>
      </c>
      <c r="D34">
        <v>0.76160000000000005</v>
      </c>
      <c r="F34">
        <v>0.7964</v>
      </c>
      <c r="G34">
        <v>0.61499999999999999</v>
      </c>
      <c r="H34">
        <v>0.66859999999999997</v>
      </c>
      <c r="J34">
        <v>0.80649999999999999</v>
      </c>
      <c r="K34">
        <v>0.5958</v>
      </c>
      <c r="L34">
        <v>0.66539999999999999</v>
      </c>
      <c r="N34">
        <v>0.7712</v>
      </c>
      <c r="O34">
        <v>0.63859999999999995</v>
      </c>
      <c r="P34">
        <v>0.56030000000000002</v>
      </c>
    </row>
    <row r="35" spans="1:16" x14ac:dyDescent="0.4">
      <c r="A35">
        <v>2</v>
      </c>
      <c r="B35">
        <v>0.89990000000000003</v>
      </c>
      <c r="C35">
        <v>0.71499999999999997</v>
      </c>
      <c r="D35">
        <v>0.88949999999999996</v>
      </c>
      <c r="F35">
        <v>0.87170000000000003</v>
      </c>
      <c r="G35">
        <v>0.77229999999999999</v>
      </c>
      <c r="H35">
        <v>0.77910000000000001</v>
      </c>
      <c r="J35">
        <v>0.75290000000000001</v>
      </c>
      <c r="K35">
        <v>0.58299999999999996</v>
      </c>
      <c r="L35">
        <v>0.53310000000000002</v>
      </c>
      <c r="N35">
        <v>0.75339999999999996</v>
      </c>
      <c r="O35">
        <v>0.61380000000000001</v>
      </c>
      <c r="P35">
        <v>0.55120000000000002</v>
      </c>
    </row>
    <row r="36" spans="1:16" x14ac:dyDescent="0.4">
      <c r="A36">
        <v>3</v>
      </c>
      <c r="B36">
        <v>0.80769999999999997</v>
      </c>
      <c r="C36">
        <v>0.54249999999999998</v>
      </c>
      <c r="D36">
        <v>0.77910000000000001</v>
      </c>
      <c r="F36">
        <v>0.82909999999999995</v>
      </c>
      <c r="G36">
        <v>0.7329</v>
      </c>
      <c r="H36">
        <v>0.68600000000000005</v>
      </c>
      <c r="J36">
        <v>0.83289999999999997</v>
      </c>
      <c r="K36">
        <v>0.69799999999999995</v>
      </c>
      <c r="L36">
        <v>0.69259999999999999</v>
      </c>
    </row>
    <row r="37" spans="1:16" x14ac:dyDescent="0.4">
      <c r="A37">
        <v>4</v>
      </c>
      <c r="B37">
        <v>0.79810000000000003</v>
      </c>
      <c r="C37">
        <v>0.54469999999999996</v>
      </c>
      <c r="D37">
        <v>0.74419999999999997</v>
      </c>
      <c r="F37">
        <v>0.82379999999999998</v>
      </c>
      <c r="G37">
        <v>0.50160000000000005</v>
      </c>
      <c r="H37">
        <v>0.9012</v>
      </c>
      <c r="J37">
        <v>0.81440000000000001</v>
      </c>
      <c r="K37">
        <v>0.65639999999999998</v>
      </c>
      <c r="L37">
        <v>0.66149999999999998</v>
      </c>
    </row>
    <row r="39" spans="1:16" x14ac:dyDescent="0.4">
      <c r="A39" t="s">
        <v>16</v>
      </c>
      <c r="B39">
        <f>AVERAGE(B34:B37)</f>
        <v>0.83879999999999999</v>
      </c>
      <c r="C39">
        <f t="shared" ref="C39:P39" si="6">AVERAGE(C34:C37)</f>
        <v>0.62522499999999992</v>
      </c>
      <c r="D39">
        <f t="shared" si="6"/>
        <v>0.79360000000000008</v>
      </c>
      <c r="F39">
        <f t="shared" si="6"/>
        <v>0.83024999999999993</v>
      </c>
      <c r="G39">
        <f t="shared" si="6"/>
        <v>0.65545000000000009</v>
      </c>
      <c r="H39">
        <f t="shared" si="6"/>
        <v>0.75872500000000009</v>
      </c>
      <c r="J39">
        <f t="shared" si="6"/>
        <v>0.80167500000000003</v>
      </c>
      <c r="K39">
        <f t="shared" si="6"/>
        <v>0.63329999999999997</v>
      </c>
      <c r="L39">
        <f t="shared" si="6"/>
        <v>0.63815</v>
      </c>
      <c r="N39">
        <f t="shared" si="6"/>
        <v>0.76229999999999998</v>
      </c>
      <c r="O39">
        <f t="shared" si="6"/>
        <v>0.62619999999999998</v>
      </c>
      <c r="P39">
        <f t="shared" si="6"/>
        <v>0.55574999999999997</v>
      </c>
    </row>
    <row r="40" spans="1:16" x14ac:dyDescent="0.4">
      <c r="A40" t="s">
        <v>14</v>
      </c>
      <c r="B40">
        <f>MAX(B34:B37)</f>
        <v>0.89990000000000003</v>
      </c>
      <c r="C40">
        <f t="shared" ref="C40:P40" si="7">MAX(C34:C37)</f>
        <v>0.71499999999999997</v>
      </c>
      <c r="D40">
        <f t="shared" si="7"/>
        <v>0.88949999999999996</v>
      </c>
      <c r="F40">
        <f t="shared" si="7"/>
        <v>0.87170000000000003</v>
      </c>
      <c r="G40">
        <f t="shared" si="7"/>
        <v>0.77229999999999999</v>
      </c>
      <c r="H40">
        <f t="shared" si="7"/>
        <v>0.9012</v>
      </c>
      <c r="J40">
        <f t="shared" si="7"/>
        <v>0.83289999999999997</v>
      </c>
      <c r="K40">
        <f t="shared" si="7"/>
        <v>0.69799999999999995</v>
      </c>
      <c r="L40">
        <f t="shared" si="7"/>
        <v>0.69259999999999999</v>
      </c>
      <c r="N40">
        <f t="shared" si="7"/>
        <v>0.7712</v>
      </c>
      <c r="O40">
        <f t="shared" si="7"/>
        <v>0.63859999999999995</v>
      </c>
      <c r="P40">
        <f t="shared" si="7"/>
        <v>0.56030000000000002</v>
      </c>
    </row>
    <row r="41" spans="1:16" x14ac:dyDescent="0.4">
      <c r="A41" t="s">
        <v>15</v>
      </c>
      <c r="B41">
        <f>MIN(B34:B37)</f>
        <v>0.79810000000000003</v>
      </c>
      <c r="C41">
        <f t="shared" ref="C41:P41" si="8">MIN(C34:C37)</f>
        <v>0.54249999999999998</v>
      </c>
      <c r="D41">
        <f t="shared" si="8"/>
        <v>0.74419999999999997</v>
      </c>
      <c r="F41">
        <f t="shared" si="8"/>
        <v>0.7964</v>
      </c>
      <c r="G41">
        <f t="shared" si="8"/>
        <v>0.50160000000000005</v>
      </c>
      <c r="H41">
        <f t="shared" si="8"/>
        <v>0.66859999999999997</v>
      </c>
      <c r="J41">
        <f t="shared" si="8"/>
        <v>0.75290000000000001</v>
      </c>
      <c r="K41">
        <f t="shared" si="8"/>
        <v>0.58299999999999996</v>
      </c>
      <c r="L41">
        <f t="shared" si="8"/>
        <v>0.53310000000000002</v>
      </c>
      <c r="N41">
        <f t="shared" si="8"/>
        <v>0.75339999999999996</v>
      </c>
      <c r="O41">
        <f t="shared" si="8"/>
        <v>0.61380000000000001</v>
      </c>
      <c r="P41">
        <f t="shared" si="8"/>
        <v>0.55120000000000002</v>
      </c>
    </row>
  </sheetData>
  <mergeCells count="7">
    <mergeCell ref="B2:P2"/>
    <mergeCell ref="B18:P18"/>
    <mergeCell ref="B31:P31"/>
    <mergeCell ref="B4:C4"/>
    <mergeCell ref="F4:G4"/>
    <mergeCell ref="J4:K4"/>
    <mergeCell ref="N4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95dd43e5, 6c1f45ad</dc:creator>
  <cp:lastModifiedBy>95dd43e5, 6c1f45ad</cp:lastModifiedBy>
  <dcterms:created xsi:type="dcterms:W3CDTF">2026-02-02T05:25:09Z</dcterms:created>
  <dcterms:modified xsi:type="dcterms:W3CDTF">2026-02-02T20:35:56Z</dcterms:modified>
</cp:coreProperties>
</file>